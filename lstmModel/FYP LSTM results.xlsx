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<sst xmlns="http://schemas.openxmlformats.org/spreadsheetml/2006/main" count="45" uniqueCount="27">
  <si>
    <t>Return in the testing period</t>
  </si>
  <si>
    <t>Stock\lr, bs</t>
  </si>
  <si>
    <t>Benchmark (Return if only buy and hold)</t>
  </si>
  <si>
    <t>0.000001, 4</t>
  </si>
  <si>
    <t>0.000001, 8</t>
  </si>
  <si>
    <t>0.000001, 16</t>
  </si>
  <si>
    <t>0.00001, 4</t>
  </si>
  <si>
    <t>0.00001, 8</t>
  </si>
  <si>
    <t>0.00001, 16</t>
  </si>
  <si>
    <t>0.0001, 4</t>
  </si>
  <si>
    <t>0.0001, 8</t>
  </si>
  <si>
    <t>0.0001, 16</t>
  </si>
  <si>
    <t>Testing period: training_start_time = '2016-06-15 00:00:00-05:00'
training_end_time = '2024-02-01 00:00:00-05:00</t>
  </si>
  <si>
    <t>TSLA</t>
  </si>
  <si>
    <t>Trained on TSLA</t>
  </si>
  <si>
    <t>MSFT</t>
  </si>
  <si>
    <t>META</t>
  </si>
  <si>
    <t xml:space="preserve">testing_start_time = '2024-02-01 00:00:00-05:00'
testing_end_time = '2026-01-09 00:00:00-05:00' </t>
  </si>
  <si>
    <t>NVDA</t>
  </si>
  <si>
    <t>AAPL</t>
  </si>
  <si>
    <t>AMZN</t>
  </si>
  <si>
    <t>ORCL</t>
  </si>
  <si>
    <t>NFLX</t>
  </si>
  <si>
    <t>F1 score</t>
  </si>
  <si>
    <t>Exceed the benchmark in %</t>
  </si>
  <si>
    <t>Average Exceed</t>
  </si>
  <si>
    <t>Average F1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</si>
</sst>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1F1F1F"/>
      <name val="Monospace"/>
    </font>
    <font>
      <sz val="11.0"/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0" xfId="0" applyAlignment="1" applyFont="1" applyNumberFormat="1">
      <alignment readingOrder="0"/>
    </xf>
    <xf borderId="0" fillId="3" fontId="3" numFmtId="10" xfId="0" applyAlignment="1" applyFill="1" applyFont="1" applyNumberFormat="1">
      <alignment readingOrder="0"/>
    </xf>
    <xf borderId="0" fillId="4" fontId="1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1" numFmtId="10" xfId="0" applyFont="1" applyNumberFormat="1"/>
    <xf borderId="0" fillId="0" fontId="1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30.88"/>
    <col customWidth="1" min="3" max="9" width="12.75"/>
    <col customWidth="1" min="13" max="13" width="49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M2" s="3" t="s">
        <v>12</v>
      </c>
    </row>
    <row r="3">
      <c r="A3" s="2" t="s">
        <v>13</v>
      </c>
      <c r="B3" s="4">
        <v>0.3828</v>
      </c>
      <c r="C3" s="5">
        <v>0.5453</v>
      </c>
      <c r="D3" s="5">
        <v>0.9759</v>
      </c>
      <c r="E3" s="5">
        <v>0.1222</v>
      </c>
      <c r="F3" s="5">
        <v>0.1694</v>
      </c>
      <c r="G3" s="5">
        <v>0.3441</v>
      </c>
      <c r="H3" s="5">
        <v>-0.2223</v>
      </c>
      <c r="I3" s="5">
        <v>-0.3722</v>
      </c>
      <c r="J3" s="5">
        <v>-0.5519</v>
      </c>
      <c r="K3" s="5">
        <v>-0.3859</v>
      </c>
      <c r="M3" s="3" t="s">
        <v>14</v>
      </c>
    </row>
    <row r="4">
      <c r="A4" s="2" t="s">
        <v>15</v>
      </c>
      <c r="B4" s="4">
        <v>0.1806</v>
      </c>
      <c r="C4" s="5">
        <v>0.171</v>
      </c>
      <c r="D4" s="5">
        <v>0.2675</v>
      </c>
      <c r="E4" s="5">
        <v>0.1599</v>
      </c>
      <c r="F4" s="5">
        <v>0.3028</v>
      </c>
      <c r="G4" s="5">
        <v>0.1584</v>
      </c>
      <c r="H4" s="5">
        <v>0.2827</v>
      </c>
      <c r="I4" s="5">
        <v>0.1253</v>
      </c>
      <c r="J4" s="5">
        <v>-0.0356</v>
      </c>
      <c r="K4" s="5">
        <v>0.0483</v>
      </c>
    </row>
    <row r="5">
      <c r="A5" s="2" t="s">
        <v>16</v>
      </c>
      <c r="B5" s="4">
        <v>-0.405</v>
      </c>
      <c r="C5" s="5">
        <v>0.2842</v>
      </c>
      <c r="D5" s="5">
        <v>-0.1341</v>
      </c>
      <c r="E5" s="5">
        <v>0.7006</v>
      </c>
      <c r="F5" s="5">
        <v>0.0737</v>
      </c>
      <c r="G5" s="5">
        <v>-0.2181</v>
      </c>
      <c r="H5" s="5">
        <v>-0.2163</v>
      </c>
      <c r="I5" s="5">
        <v>-0.4051</v>
      </c>
      <c r="J5" s="5">
        <v>0.0135</v>
      </c>
      <c r="K5" s="5">
        <v>-0.362</v>
      </c>
      <c r="M5" s="2" t="s">
        <v>17</v>
      </c>
    </row>
    <row r="6">
      <c r="A6" s="2" t="s">
        <v>18</v>
      </c>
      <c r="B6" s="4">
        <v>1.0653</v>
      </c>
      <c r="C6" s="5">
        <v>1.1634</v>
      </c>
      <c r="D6" s="5">
        <v>1.9557</v>
      </c>
      <c r="E6" s="5">
        <v>0.9221</v>
      </c>
      <c r="F6" s="5">
        <v>0.7299</v>
      </c>
      <c r="G6" s="5">
        <v>1.147</v>
      </c>
      <c r="H6" s="5">
        <v>1.0192</v>
      </c>
      <c r="I6" s="5">
        <v>1.5188</v>
      </c>
      <c r="J6" s="5">
        <v>1.2016</v>
      </c>
      <c r="K6" s="5">
        <v>1.6441</v>
      </c>
    </row>
    <row r="7">
      <c r="A7" s="2" t="s">
        <v>19</v>
      </c>
      <c r="B7" s="4">
        <v>1.48</v>
      </c>
      <c r="C7" s="5">
        <v>1.0621</v>
      </c>
      <c r="D7" s="5">
        <v>1.5008</v>
      </c>
      <c r="E7" s="5">
        <v>0.2109</v>
      </c>
      <c r="F7" s="5">
        <v>1.5648</v>
      </c>
      <c r="G7" s="5">
        <v>1.501</v>
      </c>
      <c r="H7" s="5">
        <v>2.0803</v>
      </c>
      <c r="I7" s="5">
        <v>0.8891</v>
      </c>
      <c r="J7" s="5">
        <v>0.9142</v>
      </c>
      <c r="K7" s="5">
        <v>0.6815</v>
      </c>
    </row>
    <row r="8">
      <c r="A8" s="2" t="s">
        <v>20</v>
      </c>
      <c r="B8" s="4">
        <v>0.5683</v>
      </c>
      <c r="C8" s="5">
        <v>1.0781</v>
      </c>
      <c r="D8" s="5">
        <v>1.0513</v>
      </c>
      <c r="E8" s="5">
        <v>1.1546</v>
      </c>
      <c r="F8" s="5">
        <v>0.9869</v>
      </c>
      <c r="G8" s="5">
        <v>1.1531</v>
      </c>
      <c r="H8" s="5">
        <v>1.0996</v>
      </c>
      <c r="I8" s="5">
        <v>0.7306</v>
      </c>
      <c r="J8" s="5">
        <v>0.759</v>
      </c>
      <c r="K8" s="5">
        <v>0.9312</v>
      </c>
    </row>
    <row r="9">
      <c r="A9" s="2" t="s">
        <v>21</v>
      </c>
      <c r="B9" s="4">
        <v>-0.0837</v>
      </c>
      <c r="C9" s="5">
        <v>0.2165</v>
      </c>
      <c r="D9" s="5">
        <v>0.0248</v>
      </c>
      <c r="E9" s="5">
        <v>-0.0149</v>
      </c>
      <c r="F9" s="5">
        <v>0.2043</v>
      </c>
      <c r="G9" s="5">
        <v>0.1272</v>
      </c>
      <c r="H9" s="5">
        <v>0.4351</v>
      </c>
      <c r="I9" s="5">
        <v>0.3171</v>
      </c>
      <c r="J9" s="5">
        <v>0.3377</v>
      </c>
      <c r="K9" s="5">
        <v>0.2447</v>
      </c>
    </row>
    <row r="10">
      <c r="A10" s="2" t="s">
        <v>22</v>
      </c>
      <c r="B10" s="4">
        <v>0.275</v>
      </c>
      <c r="C10" s="5">
        <v>-0.2962</v>
      </c>
      <c r="D10" s="5">
        <v>0.0288</v>
      </c>
      <c r="E10" s="5">
        <v>-0.3377</v>
      </c>
      <c r="F10" s="5">
        <v>-0.1251</v>
      </c>
      <c r="G10" s="5">
        <v>-0.2457</v>
      </c>
      <c r="H10" s="5">
        <v>-0.145</v>
      </c>
      <c r="I10" s="5">
        <v>-0.1155</v>
      </c>
      <c r="J10" s="5">
        <v>0.0215</v>
      </c>
      <c r="K10" s="5">
        <v>-0.131</v>
      </c>
    </row>
    <row r="12">
      <c r="B12" s="2"/>
      <c r="C12" s="2"/>
      <c r="D12" s="2"/>
      <c r="E12" s="2"/>
      <c r="F12" s="2"/>
    </row>
    <row r="13">
      <c r="A13" s="6" t="s">
        <v>23</v>
      </c>
    </row>
    <row r="14">
      <c r="A14" s="2" t="s">
        <v>1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7</v>
      </c>
      <c r="H14" s="2" t="s">
        <v>8</v>
      </c>
      <c r="I14" s="2" t="s">
        <v>9</v>
      </c>
      <c r="J14" s="2" t="s">
        <v>7</v>
      </c>
      <c r="K14" s="2" t="s">
        <v>8</v>
      </c>
    </row>
    <row r="15">
      <c r="A15" s="2" t="s">
        <v>13</v>
      </c>
      <c r="B15" s="4"/>
      <c r="C15" s="7">
        <v>0.649006622516556</v>
      </c>
      <c r="D15" s="8">
        <v>0.665264847512038</v>
      </c>
      <c r="E15" s="7">
        <v>0.572564612326043</v>
      </c>
      <c r="F15" s="7">
        <v>0.64600326264274</v>
      </c>
      <c r="G15" s="7">
        <v>0.64321608040201</v>
      </c>
      <c r="H15" s="7">
        <v>0.647840531561461</v>
      </c>
      <c r="I15" s="7">
        <v>0.617594254937163</v>
      </c>
      <c r="J15" s="7">
        <v>0.594795539033457</v>
      </c>
      <c r="K15" s="7">
        <v>0.614310645724258</v>
      </c>
    </row>
    <row r="16">
      <c r="A16" s="2" t="s">
        <v>15</v>
      </c>
      <c r="B16" s="4"/>
      <c r="C16" s="7">
        <v>0.574040219378427</v>
      </c>
      <c r="D16" s="8">
        <v>0.628661844484629</v>
      </c>
      <c r="E16" s="7">
        <v>0.524312896405919</v>
      </c>
      <c r="F16" s="7">
        <v>0.590990990990991</v>
      </c>
      <c r="G16" s="7">
        <v>0.590106007067137</v>
      </c>
      <c r="H16" s="7">
        <v>0.588235294117647</v>
      </c>
      <c r="I16" s="7">
        <v>0.585278276481149</v>
      </c>
      <c r="J16" s="7">
        <v>0.581352833638025</v>
      </c>
      <c r="K16" s="7">
        <v>0.625641025641025</v>
      </c>
    </row>
    <row r="17">
      <c r="A17" s="2" t="s">
        <v>16</v>
      </c>
      <c r="B17" s="4"/>
      <c r="C17" s="7">
        <v>0.628951747088186</v>
      </c>
      <c r="D17" s="8">
        <v>0.657906976744186</v>
      </c>
      <c r="E17" s="7">
        <v>0.545454545454545</v>
      </c>
      <c r="F17" s="7">
        <v>0.629139072847682</v>
      </c>
      <c r="G17" s="7">
        <v>0.623973727422003</v>
      </c>
      <c r="H17" s="7">
        <v>0.611018363939899</v>
      </c>
      <c r="I17" s="7">
        <v>0.587219343696027</v>
      </c>
      <c r="J17" s="7">
        <v>0.592592592592592</v>
      </c>
      <c r="K17" s="7">
        <v>0.613376835236541</v>
      </c>
    </row>
    <row r="18">
      <c r="A18" s="2" t="s">
        <v>18</v>
      </c>
      <c r="B18" s="4"/>
      <c r="C18" s="7">
        <v>0.624793388429752</v>
      </c>
      <c r="D18" s="7">
        <v>0.646203554119547</v>
      </c>
      <c r="E18" s="7">
        <v>0.595419847328244</v>
      </c>
      <c r="F18" s="7">
        <v>0.637729549248747</v>
      </c>
      <c r="G18" s="7">
        <v>0.643564356435643</v>
      </c>
      <c r="H18" s="7">
        <v>0.623287671232876</v>
      </c>
      <c r="I18" s="7">
        <v>0.600706713780918</v>
      </c>
      <c r="J18" s="7">
        <v>0.683153013910355</v>
      </c>
      <c r="K18" s="7">
        <v>0.631578947368421</v>
      </c>
    </row>
    <row r="19">
      <c r="A19" s="2" t="s">
        <v>19</v>
      </c>
      <c r="B19" s="4"/>
      <c r="C19" s="7">
        <v>0.652317880794702</v>
      </c>
      <c r="D19" s="7">
        <v>0.655683690280065</v>
      </c>
      <c r="E19" s="7">
        <v>0.603351955307262</v>
      </c>
      <c r="F19" s="7">
        <v>0.669902912621359</v>
      </c>
      <c r="G19" s="7">
        <v>0.668789808917197</v>
      </c>
      <c r="H19" s="7">
        <v>0.660130718954248</v>
      </c>
      <c r="I19" s="7">
        <v>0.634551495016611</v>
      </c>
      <c r="J19" s="7">
        <v>0.625418060200668</v>
      </c>
      <c r="K19" s="7">
        <v>0.683153013910355</v>
      </c>
    </row>
    <row r="20">
      <c r="A20" s="2" t="s">
        <v>20</v>
      </c>
      <c r="B20" s="4"/>
      <c r="C20" s="7">
        <v>0.628571428571428</v>
      </c>
      <c r="D20" s="8">
        <v>0.637200674536256</v>
      </c>
      <c r="E20" s="7">
        <v>0.522821576763485</v>
      </c>
      <c r="F20" s="7">
        <v>0.627712854757929</v>
      </c>
      <c r="G20" s="7">
        <v>0.616639477977161</v>
      </c>
      <c r="H20" s="7">
        <v>0.618181818181818</v>
      </c>
      <c r="I20" s="7">
        <v>0.613559322033898</v>
      </c>
      <c r="J20" s="7">
        <v>0.598615916955017</v>
      </c>
      <c r="K20" s="7">
        <v>0.646103896103896</v>
      </c>
    </row>
    <row r="21">
      <c r="A21" s="2" t="s">
        <v>21</v>
      </c>
      <c r="B21" s="4"/>
      <c r="C21" s="7">
        <v>0.651315789473684</v>
      </c>
      <c r="D21" s="8">
        <v>0.658829431438127</v>
      </c>
      <c r="E21" s="7">
        <v>0.572</v>
      </c>
      <c r="F21" s="7">
        <v>0.647840531561461</v>
      </c>
      <c r="G21" s="7">
        <v>0.638935108153078</v>
      </c>
      <c r="H21" s="7">
        <v>0.64891846921797</v>
      </c>
      <c r="I21" s="7">
        <v>0.649517684887459</v>
      </c>
      <c r="J21" s="7">
        <v>0.635135135135135</v>
      </c>
      <c r="K21" s="7">
        <v>0.66771653543307</v>
      </c>
    </row>
    <row r="22">
      <c r="A22" s="2" t="s">
        <v>22</v>
      </c>
      <c r="B22" s="4"/>
      <c r="C22" s="7">
        <v>0.605633802816901</v>
      </c>
      <c r="D22" s="8">
        <v>0.608230088495575</v>
      </c>
      <c r="E22" s="7">
        <v>0.585461689587426</v>
      </c>
      <c r="F22" s="7">
        <v>0.605851979345955</v>
      </c>
      <c r="G22" s="7">
        <v>0.616438356164383</v>
      </c>
      <c r="H22" s="7">
        <v>0.613287904599659</v>
      </c>
      <c r="I22" s="7">
        <v>0.613013698630137</v>
      </c>
      <c r="J22" s="7">
        <v>0.592592592592592</v>
      </c>
      <c r="K22" s="7">
        <v>0.633333333333333</v>
      </c>
    </row>
    <row r="24">
      <c r="A24" s="2" t="s">
        <v>24</v>
      </c>
    </row>
    <row r="25">
      <c r="C25" s="9">
        <f t="shared" ref="C25:K25" si="1">C3-$B3</f>
        <v>0.1625</v>
      </c>
      <c r="D25" s="9">
        <f t="shared" si="1"/>
        <v>0.5931</v>
      </c>
      <c r="E25" s="9">
        <f t="shared" si="1"/>
        <v>-0.2606</v>
      </c>
      <c r="F25" s="9">
        <f t="shared" si="1"/>
        <v>-0.2134</v>
      </c>
      <c r="G25" s="9">
        <f t="shared" si="1"/>
        <v>-0.0387</v>
      </c>
      <c r="H25" s="9">
        <f t="shared" si="1"/>
        <v>-0.6051</v>
      </c>
      <c r="I25" s="9">
        <f t="shared" si="1"/>
        <v>-0.755</v>
      </c>
      <c r="J25" s="9">
        <f t="shared" si="1"/>
        <v>-0.9347</v>
      </c>
      <c r="K25" s="9">
        <f t="shared" si="1"/>
        <v>-0.7687</v>
      </c>
    </row>
    <row r="26">
      <c r="C26" s="9">
        <f t="shared" ref="C26:K26" si="2">C4-$B4</f>
        <v>-0.0096</v>
      </c>
      <c r="D26" s="9">
        <f t="shared" si="2"/>
        <v>0.0869</v>
      </c>
      <c r="E26" s="9">
        <f t="shared" si="2"/>
        <v>-0.0207</v>
      </c>
      <c r="F26" s="9">
        <f t="shared" si="2"/>
        <v>0.1222</v>
      </c>
      <c r="G26" s="9">
        <f t="shared" si="2"/>
        <v>-0.0222</v>
      </c>
      <c r="H26" s="9">
        <f t="shared" si="2"/>
        <v>0.1021</v>
      </c>
      <c r="I26" s="9">
        <f t="shared" si="2"/>
        <v>-0.0553</v>
      </c>
      <c r="J26" s="9">
        <f t="shared" si="2"/>
        <v>-0.2162</v>
      </c>
      <c r="K26" s="9">
        <f t="shared" si="2"/>
        <v>-0.1323</v>
      </c>
    </row>
    <row r="27">
      <c r="C27" s="9">
        <f t="shared" ref="C27:K27" si="3">C5-$B5</f>
        <v>0.6892</v>
      </c>
      <c r="D27" s="9">
        <f t="shared" si="3"/>
        <v>0.2709</v>
      </c>
      <c r="E27" s="9">
        <f t="shared" si="3"/>
        <v>1.1056</v>
      </c>
      <c r="F27" s="9">
        <f t="shared" si="3"/>
        <v>0.4787</v>
      </c>
      <c r="G27" s="9">
        <f t="shared" si="3"/>
        <v>0.1869</v>
      </c>
      <c r="H27" s="9">
        <f t="shared" si="3"/>
        <v>0.1887</v>
      </c>
      <c r="I27" s="9">
        <f t="shared" si="3"/>
        <v>-0.0001</v>
      </c>
      <c r="J27" s="9">
        <f t="shared" si="3"/>
        <v>0.4185</v>
      </c>
      <c r="K27" s="9">
        <f t="shared" si="3"/>
        <v>0.043</v>
      </c>
    </row>
    <row r="28">
      <c r="C28" s="9">
        <f t="shared" ref="C28:K28" si="4">C6-$B6</f>
        <v>0.0981</v>
      </c>
      <c r="D28" s="9">
        <f t="shared" si="4"/>
        <v>0.8904</v>
      </c>
      <c r="E28" s="9">
        <f t="shared" si="4"/>
        <v>-0.1432</v>
      </c>
      <c r="F28" s="9">
        <f t="shared" si="4"/>
        <v>-0.3354</v>
      </c>
      <c r="G28" s="9">
        <f t="shared" si="4"/>
        <v>0.0817</v>
      </c>
      <c r="H28" s="9">
        <f t="shared" si="4"/>
        <v>-0.0461</v>
      </c>
      <c r="I28" s="9">
        <f t="shared" si="4"/>
        <v>0.4535</v>
      </c>
      <c r="J28" s="9">
        <f t="shared" si="4"/>
        <v>0.1363</v>
      </c>
      <c r="K28" s="9">
        <f t="shared" si="4"/>
        <v>0.5788</v>
      </c>
    </row>
    <row r="29">
      <c r="C29" s="9">
        <f t="shared" ref="C29:K29" si="5">C7-$B7</f>
        <v>-0.4179</v>
      </c>
      <c r="D29" s="9">
        <f t="shared" si="5"/>
        <v>0.0208</v>
      </c>
      <c r="E29" s="9">
        <f t="shared" si="5"/>
        <v>-1.2691</v>
      </c>
      <c r="F29" s="9">
        <f t="shared" si="5"/>
        <v>0.0848</v>
      </c>
      <c r="G29" s="9">
        <f t="shared" si="5"/>
        <v>0.021</v>
      </c>
      <c r="H29" s="9">
        <f t="shared" si="5"/>
        <v>0.6003</v>
      </c>
      <c r="I29" s="9">
        <f t="shared" si="5"/>
        <v>-0.5909</v>
      </c>
      <c r="J29" s="9">
        <f t="shared" si="5"/>
        <v>-0.5658</v>
      </c>
      <c r="K29" s="9">
        <f t="shared" si="5"/>
        <v>-0.7985</v>
      </c>
    </row>
    <row r="30">
      <c r="C30" s="9">
        <f t="shared" ref="C30:K30" si="6">C8-$B8</f>
        <v>0.5098</v>
      </c>
      <c r="D30" s="9">
        <f t="shared" si="6"/>
        <v>0.483</v>
      </c>
      <c r="E30" s="9">
        <f t="shared" si="6"/>
        <v>0.5863</v>
      </c>
      <c r="F30" s="9">
        <f t="shared" si="6"/>
        <v>0.4186</v>
      </c>
      <c r="G30" s="9">
        <f t="shared" si="6"/>
        <v>0.5848</v>
      </c>
      <c r="H30" s="9">
        <f t="shared" si="6"/>
        <v>0.5313</v>
      </c>
      <c r="I30" s="9">
        <f t="shared" si="6"/>
        <v>0.1623</v>
      </c>
      <c r="J30" s="9">
        <f t="shared" si="6"/>
        <v>0.1907</v>
      </c>
      <c r="K30" s="9">
        <f t="shared" si="6"/>
        <v>0.3629</v>
      </c>
    </row>
    <row r="31">
      <c r="C31" s="9">
        <f t="shared" ref="C31:K31" si="7">C9-$B9</f>
        <v>0.3002</v>
      </c>
      <c r="D31" s="9">
        <f t="shared" si="7"/>
        <v>0.1085</v>
      </c>
      <c r="E31" s="9">
        <f t="shared" si="7"/>
        <v>0.0688</v>
      </c>
      <c r="F31" s="9">
        <f t="shared" si="7"/>
        <v>0.288</v>
      </c>
      <c r="G31" s="9">
        <f t="shared" si="7"/>
        <v>0.2109</v>
      </c>
      <c r="H31" s="9">
        <f t="shared" si="7"/>
        <v>0.5188</v>
      </c>
      <c r="I31" s="9">
        <f t="shared" si="7"/>
        <v>0.4008</v>
      </c>
      <c r="J31" s="9">
        <f t="shared" si="7"/>
        <v>0.4214</v>
      </c>
      <c r="K31" s="9">
        <f t="shared" si="7"/>
        <v>0.3284</v>
      </c>
    </row>
    <row r="32">
      <c r="C32" s="9">
        <f t="shared" ref="C32:K32" si="8">C10-$B10</f>
        <v>-0.5712</v>
      </c>
      <c r="D32" s="9">
        <f t="shared" si="8"/>
        <v>-0.2462</v>
      </c>
      <c r="E32" s="9">
        <f t="shared" si="8"/>
        <v>-0.6127</v>
      </c>
      <c r="F32" s="9">
        <f t="shared" si="8"/>
        <v>-0.4001</v>
      </c>
      <c r="G32" s="9">
        <f t="shared" si="8"/>
        <v>-0.5207</v>
      </c>
      <c r="H32" s="9">
        <f t="shared" si="8"/>
        <v>-0.42</v>
      </c>
      <c r="I32" s="9">
        <f t="shared" si="8"/>
        <v>-0.3905</v>
      </c>
      <c r="J32" s="9">
        <f t="shared" si="8"/>
        <v>-0.2535</v>
      </c>
      <c r="K32" s="9">
        <f t="shared" si="8"/>
        <v>-0.406</v>
      </c>
    </row>
    <row r="33">
      <c r="A33" s="2" t="s">
        <v>25</v>
      </c>
      <c r="C33" s="9">
        <f t="shared" ref="C33:K33" si="9">AVERAGE(C25:C32)</f>
        <v>0.0951375</v>
      </c>
      <c r="D33" s="9">
        <f t="shared" si="9"/>
        <v>0.275925</v>
      </c>
      <c r="E33" s="9">
        <f t="shared" si="9"/>
        <v>-0.0682</v>
      </c>
      <c r="F33" s="9">
        <f t="shared" si="9"/>
        <v>0.055425</v>
      </c>
      <c r="G33" s="9">
        <f t="shared" si="9"/>
        <v>0.0629625</v>
      </c>
      <c r="H33" s="9">
        <f t="shared" si="9"/>
        <v>0.10875</v>
      </c>
      <c r="I33" s="9">
        <f t="shared" si="9"/>
        <v>-0.0969</v>
      </c>
      <c r="J33" s="9">
        <f t="shared" si="9"/>
        <v>-0.1004125</v>
      </c>
      <c r="K33" s="9">
        <f t="shared" si="9"/>
        <v>-0.09905</v>
      </c>
    </row>
    <row r="34">
      <c r="A34" s="2" t="s">
        <v>26</v>
      </c>
      <c r="C34" s="10">
        <f t="shared" ref="C34:K34" si="10">AVERAGE(C15:C22)</f>
        <v>0.6268288599</v>
      </c>
      <c r="D34" s="10">
        <f t="shared" si="10"/>
        <v>0.6447476385</v>
      </c>
      <c r="E34" s="10">
        <f t="shared" si="10"/>
        <v>0.5651733904</v>
      </c>
      <c r="F34" s="10">
        <f t="shared" si="10"/>
        <v>0.6318963943</v>
      </c>
      <c r="G34" s="10">
        <f t="shared" si="10"/>
        <v>0.6302078653</v>
      </c>
      <c r="H34" s="10">
        <f t="shared" si="10"/>
        <v>0.6263625965</v>
      </c>
      <c r="I34" s="10">
        <f t="shared" si="10"/>
        <v>0.6126800987</v>
      </c>
      <c r="J34" s="10">
        <f t="shared" si="10"/>
        <v>0.6129569605</v>
      </c>
      <c r="K34" s="10">
        <f t="shared" si="10"/>
        <v>0.6394017791</v>
      </c>
    </row>
  </sheetData>
  <conditionalFormatting sqref="C3:K10">
    <cfRule type="cellIs" dxfId="0" priority="1" operator="greaterThan">
      <formula>"B2:B9"</formula>
    </cfRule>
  </conditionalFormatting>
  <conditionalFormatting sqref="C3:K10">
    <cfRule type="cellIs" dxfId="0" priority="2" operator="greaterThan">
      <formula>"B2"</formula>
    </cfRule>
  </conditionalFormatting>
  <conditionalFormatting sqref="C25:K33">
    <cfRule type="cellIs" dxfId="0" priority="3" operator="greaterThan">
      <formula>0</formula>
    </cfRule>
  </conditionalFormatting>
  <conditionalFormatting sqref="C25:K33">
    <cfRule type="cellIs" dxfId="1" priority="4" operator="lessThanOrEqual">
      <formula>0</formula>
    </cfRule>
  </conditionalFormatting>
  <drawing r:id="rId1"/>
</worksheet>
</file>